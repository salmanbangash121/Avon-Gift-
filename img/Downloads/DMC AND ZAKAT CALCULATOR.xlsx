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d\Downloads\"/>
    </mc:Choice>
  </mc:AlternateContent>
  <bookViews>
    <workbookView xWindow="0" yWindow="0" windowWidth="20490" windowHeight="76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" l="1"/>
  <c r="L8" i="2"/>
  <c r="L9" i="2"/>
  <c r="L10" i="2"/>
  <c r="L11" i="2"/>
  <c r="L12" i="2"/>
  <c r="L13" i="2"/>
  <c r="L7" i="2"/>
</calcChain>
</file>

<file path=xl/sharedStrings.xml><?xml version="1.0" encoding="utf-8"?>
<sst xmlns="http://schemas.openxmlformats.org/spreadsheetml/2006/main" count="30" uniqueCount="24">
  <si>
    <t xml:space="preserve">  </t>
  </si>
  <si>
    <t>ROLL NO</t>
  </si>
  <si>
    <t>ABDUL BASIT</t>
  </si>
  <si>
    <t>DETAILED MARKS CERTIFICATE</t>
  </si>
  <si>
    <t xml:space="preserve">NAME </t>
  </si>
  <si>
    <t>MATHEMATICS</t>
  </si>
  <si>
    <t>OBTAINED MARKS</t>
  </si>
  <si>
    <t>TOTAL MARKS</t>
  </si>
  <si>
    <t xml:space="preserve">                                     </t>
  </si>
  <si>
    <t xml:space="preserve">ENGLISH       </t>
  </si>
  <si>
    <t xml:space="preserve">URDU          </t>
  </si>
  <si>
    <t xml:space="preserve">SUBJECT   </t>
  </si>
  <si>
    <t xml:space="preserve">                        </t>
  </si>
  <si>
    <t xml:space="preserve">BIOLOGY    </t>
  </si>
  <si>
    <t xml:space="preserve">                      </t>
  </si>
  <si>
    <t xml:space="preserve">                         </t>
  </si>
  <si>
    <t xml:space="preserve">                           </t>
  </si>
  <si>
    <t xml:space="preserve">                       </t>
  </si>
  <si>
    <t xml:space="preserve">                                   </t>
  </si>
  <si>
    <t>PRICE</t>
  </si>
  <si>
    <t>GOLD(TOLA)</t>
  </si>
  <si>
    <t>ZAKAT CALCULATOR</t>
  </si>
  <si>
    <t>ZAKAT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</si>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</sst>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Font="1"/>
    <xf numFmtId="0" fontId="0" fillId="0" borderId="0" xfId="0" applyBorder="1" applyAlignment="1"/>
    <xf numFmtId="0" fontId="1" fillId="0" borderId="0" xfId="0" applyFont="1"/>
    <xf numFmtId="0" fontId="4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L18"/>
  <sheetViews>
    <sheetView topLeftCell="A2" workbookViewId="0">
      <selection activeCell="N7" sqref="N7"/>
    </sheetView>
  </sheetViews>
  <sheetFormatPr defaultRowHeight="15" x14ac:dyDescent="0.25"/>
  <sheetData>
    <row r="3" spans="7:12" ht="33.75" x14ac:dyDescent="0.5">
      <c r="H3" s="1" t="s">
        <v>3</v>
      </c>
    </row>
    <row r="4" spans="7:12" x14ac:dyDescent="0.25">
      <c r="H4" t="s">
        <v>0</v>
      </c>
    </row>
    <row r="6" spans="7:12" x14ac:dyDescent="0.25">
      <c r="G6" s="3" t="s">
        <v>4</v>
      </c>
      <c r="H6" t="s">
        <v>2</v>
      </c>
    </row>
    <row r="7" spans="7:12" x14ac:dyDescent="0.25">
      <c r="G7" s="3" t="s">
        <v>1</v>
      </c>
      <c r="H7">
        <v>14</v>
      </c>
    </row>
    <row r="9" spans="7:12" ht="15.75" x14ac:dyDescent="0.25">
      <c r="G9" s="5" t="s">
        <v>11</v>
      </c>
      <c r="I9" s="5" t="s">
        <v>6</v>
      </c>
      <c r="K9" t="s">
        <v>7</v>
      </c>
    </row>
    <row r="10" spans="7:12" x14ac:dyDescent="0.25">
      <c r="G10" t="s">
        <v>12</v>
      </c>
      <c r="I10" t="s">
        <v>8</v>
      </c>
      <c r="K10" t="s">
        <v>15</v>
      </c>
    </row>
    <row r="11" spans="7:12" x14ac:dyDescent="0.25">
      <c r="G11" s="4" t="s">
        <v>9</v>
      </c>
      <c r="H11" s="4"/>
      <c r="I11" t="s">
        <v>12</v>
      </c>
      <c r="J11">
        <v>75</v>
      </c>
      <c r="K11" t="s">
        <v>16</v>
      </c>
      <c r="L11">
        <v>100</v>
      </c>
    </row>
    <row r="12" spans="7:12" x14ac:dyDescent="0.25">
      <c r="G12" t="s">
        <v>10</v>
      </c>
      <c r="I12" t="s">
        <v>12</v>
      </c>
      <c r="J12">
        <v>68</v>
      </c>
      <c r="K12" t="s">
        <v>15</v>
      </c>
      <c r="L12">
        <v>100</v>
      </c>
    </row>
    <row r="13" spans="7:12" x14ac:dyDescent="0.25">
      <c r="G13" t="s">
        <v>13</v>
      </c>
      <c r="I13" t="s">
        <v>16</v>
      </c>
      <c r="J13">
        <v>84</v>
      </c>
      <c r="K13" t="s">
        <v>16</v>
      </c>
      <c r="L13">
        <v>100</v>
      </c>
    </row>
    <row r="14" spans="7:12" x14ac:dyDescent="0.25">
      <c r="G14" t="s">
        <v>5</v>
      </c>
      <c r="I14" t="s">
        <v>8</v>
      </c>
      <c r="J14">
        <v>91</v>
      </c>
      <c r="K14" t="s">
        <v>18</v>
      </c>
      <c r="L14">
        <v>100</v>
      </c>
    </row>
    <row r="15" spans="7:12" x14ac:dyDescent="0.25">
      <c r="K15" t="s">
        <v>14</v>
      </c>
    </row>
    <row r="16" spans="7:12" x14ac:dyDescent="0.25">
      <c r="J16">
        <f>SUM(J11:J15)</f>
        <v>318</v>
      </c>
      <c r="K16" t="s">
        <v>17</v>
      </c>
      <c r="L16">
        <v>400</v>
      </c>
    </row>
    <row r="18" spans="8:10" x14ac:dyDescent="0.25">
      <c r="H18" t="s">
        <v>23</v>
      </c>
      <c r="J18" s="7">
        <v>0.79500000000000004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4:L13"/>
  <sheetViews>
    <sheetView tabSelected="1" workbookViewId="0">
      <selection activeCell="L16" sqref="L16"/>
    </sheetView>
  </sheetViews>
  <sheetFormatPr defaultRowHeight="15" x14ac:dyDescent="0.25"/>
  <sheetData>
    <row r="4" spans="8:12" ht="36" x14ac:dyDescent="0.55000000000000004">
      <c r="I4" s="6" t="s">
        <v>21</v>
      </c>
    </row>
    <row r="6" spans="8:12" ht="18.75" x14ac:dyDescent="0.3">
      <c r="H6" s="2" t="s">
        <v>20</v>
      </c>
      <c r="J6" s="2" t="s">
        <v>19</v>
      </c>
      <c r="K6" s="2"/>
      <c r="L6" s="2" t="s">
        <v>22</v>
      </c>
    </row>
    <row r="7" spans="8:12" x14ac:dyDescent="0.25">
      <c r="H7">
        <v>1</v>
      </c>
      <c r="J7">
        <v>520000</v>
      </c>
      <c r="L7">
        <f>AVERAGE(J7*H7*2.5/100)</f>
        <v>13000</v>
      </c>
    </row>
    <row r="8" spans="8:12" x14ac:dyDescent="0.25">
      <c r="H8">
        <v>2</v>
      </c>
      <c r="J8">
        <v>1040000</v>
      </c>
      <c r="L8">
        <f t="shared" ref="L8:L13" si="0">AVERAGE(J8*H8*2.5/100)</f>
        <v>52000</v>
      </c>
    </row>
    <row r="9" spans="8:12" x14ac:dyDescent="0.25">
      <c r="H9">
        <v>3</v>
      </c>
      <c r="J9">
        <v>1560000</v>
      </c>
      <c r="L9">
        <f t="shared" si="0"/>
        <v>117000</v>
      </c>
    </row>
    <row r="10" spans="8:12" x14ac:dyDescent="0.25">
      <c r="H10">
        <v>4</v>
      </c>
      <c r="J10">
        <v>2080000</v>
      </c>
      <c r="L10">
        <f t="shared" si="0"/>
        <v>208000</v>
      </c>
    </row>
    <row r="11" spans="8:12" x14ac:dyDescent="0.25">
      <c r="H11">
        <v>5</v>
      </c>
      <c r="J11">
        <v>2600000</v>
      </c>
      <c r="L11">
        <f t="shared" si="0"/>
        <v>325000</v>
      </c>
    </row>
    <row r="12" spans="8:12" x14ac:dyDescent="0.25">
      <c r="H12">
        <v>6</v>
      </c>
      <c r="J12">
        <v>3120000</v>
      </c>
      <c r="L12">
        <f t="shared" si="0"/>
        <v>468000</v>
      </c>
    </row>
    <row r="13" spans="8:12" x14ac:dyDescent="0.25">
      <c r="H13">
        <v>7</v>
      </c>
      <c r="J13">
        <v>3640000</v>
      </c>
      <c r="L13">
        <f t="shared" si="0"/>
        <v>637000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cp:lastPrinted>2026-02-01T14:34:56Z</cp:lastPrinted>
  <dcterms:created xsi:type="dcterms:W3CDTF">2026-01-27T17:12:44Z</dcterms:created>
  <dcterms:modified xsi:type="dcterms:W3CDTF">2026-02-01T14:41:44Z</dcterms:modified>
</cp:coreProperties>
</file>